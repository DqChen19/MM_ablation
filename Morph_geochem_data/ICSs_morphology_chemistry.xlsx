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dq/Library/CloudStorage/GoogleDrive-chendq@uw.edu/My Drive/Meso_MMs_useful/Data_SI/"/>
    </mc:Choice>
  </mc:AlternateContent>
  <xr:revisionPtr revIDLastSave="0" documentId="13_ncr:1_{765FB400-231A-C448-8B20-3F46699B5427}" xr6:coauthVersionLast="47" xr6:coauthVersionMax="47" xr10:uidLastSave="{00000000-0000-0000-0000-000000000000}"/>
  <bookViews>
    <workbookView xWindow="0" yWindow="0" windowWidth="28800" windowHeight="18000" xr2:uid="{B207E8CB-18D6-684E-8BAE-5689F5728115}"/>
  </bookViews>
  <sheets>
    <sheet name="Diameter" sheetId="1" r:id="rId1"/>
    <sheet name="ED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T29" i="2"/>
  <c r="U29" i="2"/>
  <c r="I29" i="2"/>
  <c r="P29" i="2"/>
  <c r="Q29" i="2"/>
  <c r="H29" i="2"/>
  <c r="U9" i="2"/>
  <c r="J27" i="2"/>
  <c r="F37" i="2"/>
  <c r="G37" i="2"/>
  <c r="H37" i="2"/>
  <c r="I37" i="2"/>
  <c r="L37" i="2"/>
  <c r="M37" i="2"/>
  <c r="P37" i="2"/>
  <c r="Q37" i="2"/>
  <c r="T37" i="2"/>
  <c r="F38" i="2"/>
  <c r="G38" i="2"/>
  <c r="H38" i="2"/>
  <c r="I38" i="2"/>
  <c r="L38" i="2"/>
  <c r="M38" i="2"/>
  <c r="P38" i="2"/>
  <c r="Q38" i="2"/>
  <c r="T38" i="2"/>
  <c r="U12" i="2"/>
  <c r="U11" i="2"/>
  <c r="T27" i="2"/>
  <c r="G27" i="2"/>
  <c r="H27" i="2"/>
  <c r="I27" i="2"/>
  <c r="M27" i="2"/>
  <c r="O27" i="2"/>
  <c r="P27" i="2"/>
  <c r="U5" i="2"/>
  <c r="U6" i="2"/>
  <c r="T30" i="2"/>
  <c r="P30" i="2"/>
  <c r="I30" i="2"/>
  <c r="H30" i="2"/>
  <c r="T28" i="2"/>
  <c r="F27" i="2"/>
  <c r="U20" i="2"/>
  <c r="U15" i="2"/>
  <c r="U16" i="2"/>
  <c r="U25" i="2"/>
  <c r="U13" i="2"/>
  <c r="U18" i="2"/>
  <c r="U17" i="2"/>
  <c r="U21" i="2"/>
  <c r="U23" i="2"/>
  <c r="Q24" i="2"/>
  <c r="U24" i="2" s="1"/>
  <c r="U22" i="2"/>
  <c r="U26" i="2"/>
  <c r="Q19" i="2"/>
  <c r="U14" i="2"/>
  <c r="Q10" i="2"/>
  <c r="U10" i="2" s="1"/>
  <c r="U8" i="2"/>
  <c r="U7" i="2"/>
  <c r="U4" i="2"/>
  <c r="U3" i="2"/>
  <c r="U2" i="2"/>
  <c r="Q27" i="2" l="1"/>
  <c r="Q30" i="2"/>
  <c r="U19" i="2"/>
  <c r="U30" i="2" s="1"/>
  <c r="Q28" i="2"/>
  <c r="U28" i="2" s="1"/>
</calcChain>
</file>

<file path=xl/sharedStrings.xml><?xml version="1.0" encoding="utf-8"?>
<sst xmlns="http://schemas.openxmlformats.org/spreadsheetml/2006/main" count="178" uniqueCount="73">
  <si>
    <t>Label</t>
  </si>
  <si>
    <t>HE01001</t>
  </si>
  <si>
    <t>HE01002</t>
  </si>
  <si>
    <t>Average</t>
  </si>
  <si>
    <t>HE01003</t>
  </si>
  <si>
    <t>min</t>
  </si>
  <si>
    <t>HE01005</t>
  </si>
  <si>
    <t>max</t>
  </si>
  <si>
    <t>HE01007</t>
  </si>
  <si>
    <t>Med</t>
  </si>
  <si>
    <t>HE01008</t>
  </si>
  <si>
    <t>HE01102</t>
  </si>
  <si>
    <t>HE01103</t>
  </si>
  <si>
    <t>HE12101</t>
  </si>
  <si>
    <t>HE12102</t>
  </si>
  <si>
    <t>HE12201</t>
  </si>
  <si>
    <t>HE12202</t>
  </si>
  <si>
    <t>HE12203</t>
  </si>
  <si>
    <t>Short axis</t>
  </si>
  <si>
    <t>HE12204</t>
  </si>
  <si>
    <t>Long axis</t>
  </si>
  <si>
    <t>HE12205</t>
  </si>
  <si>
    <t>HE12206</t>
  </si>
  <si>
    <t>HE12208</t>
  </si>
  <si>
    <t>HE12209</t>
  </si>
  <si>
    <t>HE12211</t>
  </si>
  <si>
    <t>HE12212</t>
  </si>
  <si>
    <t>HE12213</t>
  </si>
  <si>
    <t>HE12214</t>
  </si>
  <si>
    <t>HE12215</t>
  </si>
  <si>
    <t>HE12216</t>
  </si>
  <si>
    <t>HE12301</t>
  </si>
  <si>
    <t>diameter microns (measured with SEM photos)</t>
  </si>
  <si>
    <t>Name spherule</t>
  </si>
  <si>
    <t>major composition</t>
  </si>
  <si>
    <t>Instrument</t>
  </si>
  <si>
    <t>N (spectra)</t>
  </si>
  <si>
    <t>Na</t>
  </si>
  <si>
    <t>Mg</t>
  </si>
  <si>
    <t xml:space="preserve">Al </t>
  </si>
  <si>
    <t>Si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</si>
  <si>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</si>
  <si>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</si>
  <si>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</si>
  <si>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</si>
  <si>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</si>
  <si>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</si>
  <si>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</si>
  <si>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</si>
  <si>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</si>
  <si>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Co</t>
  </si>
  <si>
    <t>O</t>
  </si>
  <si>
    <t>total</t>
  </si>
  <si>
    <t>cross-section</t>
  </si>
  <si>
    <t>EDS</t>
  </si>
  <si>
    <t>magnetite</t>
  </si>
  <si>
    <t>magenitite</t>
  </si>
  <si>
    <t>magentite</t>
  </si>
  <si>
    <t>exterior</t>
  </si>
  <si>
    <t>He12213</t>
  </si>
  <si>
    <t>std</t>
  </si>
  <si>
    <t>point</t>
  </si>
  <si>
    <t>area</t>
  </si>
  <si>
    <t>HE01102_bubble</t>
  </si>
  <si>
    <t>Helena carbonates</t>
  </si>
  <si>
    <t>thin section 18</t>
  </si>
  <si>
    <t>thin section 16</t>
  </si>
  <si>
    <t>thin section 11</t>
  </si>
  <si>
    <t>carbonate</t>
  </si>
  <si>
    <t>mapping</t>
  </si>
  <si>
    <t>average</t>
  </si>
  <si>
    <t>exterior(carbonates present)</t>
  </si>
  <si>
    <t xml:space="preserve">Elongate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</si>
</sst>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color theme="1"/>
      <name val="Aptos Narrow (Body)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rgb="FF00FF00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2" fontId="0" fillId="0" borderId="0" xfId="0" applyNumberFormat="1"/>
    <xf numFmtId="2" fontId="0" fillId="4" borderId="0" xfId="0" applyNumberFormat="1" applyFill="1"/>
    <xf numFmtId="2" fontId="1" fillId="4" borderId="0" xfId="0" applyNumberFormat="1" applyFont="1" applyFill="1"/>
    <xf numFmtId="164" fontId="3" fillId="0" borderId="0" xfId="0" applyNumberFormat="1" applyFont="1" applyAlignment="1">
      <alignment horizontal="left"/>
    </xf>
    <xf numFmtId="164" fontId="0" fillId="0" borderId="0" xfId="0" applyNumberFormat="1"/>
    <xf numFmtId="164" fontId="1" fillId="0" borderId="0" xfId="0" applyNumberFormat="1" applyFont="1"/>
    <xf numFmtId="164" fontId="3" fillId="0" borderId="0" xfId="0" applyNumberFormat="1" applyFont="1"/>
    <xf numFmtId="164" fontId="1" fillId="3" borderId="0" xfId="0" applyNumberFormat="1" applyFont="1" applyFill="1"/>
    <xf numFmtId="164" fontId="0" fillId="4" borderId="0" xfId="0" applyNumberFormat="1" applyFill="1"/>
    <xf numFmtId="164" fontId="1" fillId="4" borderId="0" xfId="0" applyNumberFormat="1" applyFont="1" applyFill="1"/>
    <xf numFmtId="164" fontId="1" fillId="2" borderId="0" xfId="0" applyNumberFormat="1" applyFont="1" applyFill="1"/>
    <xf numFmtId="164" fontId="0" fillId="2" borderId="0" xfId="0" applyNumberFormat="1" applyFill="1"/>
    <xf numFmtId="1" fontId="1" fillId="0" borderId="0" xfId="0" applyNumberFormat="1" applyFont="1"/>
    <xf numFmtId="164" fontId="0" fillId="0" borderId="0" xfId="0" applyNumberFormat="1" applyFont="1"/>
    <xf numFmtId="164" fontId="4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B65F-C90C-B744-AA00-81BAA67A2D1A}">
  <dimension ref="A1:F26"/>
  <sheetViews>
    <sheetView tabSelected="1" workbookViewId="0">
      <selection activeCell="E3" sqref="E3"/>
    </sheetView>
  </sheetViews>
  <sheetFormatPr baseColWidth="10" defaultRowHeight="16" x14ac:dyDescent="0.2"/>
  <cols>
    <col min="1" max="5" width="26.83203125" customWidth="1"/>
  </cols>
  <sheetData>
    <row r="1" spans="1:6" x14ac:dyDescent="0.2">
      <c r="A1" s="1" t="s">
        <v>0</v>
      </c>
      <c r="B1" s="1" t="s">
        <v>32</v>
      </c>
      <c r="C1" s="1"/>
      <c r="D1" s="1"/>
      <c r="E1" s="1"/>
      <c r="F1" s="1"/>
    </row>
    <row r="2" spans="1:6" x14ac:dyDescent="0.2">
      <c r="A2" s="1" t="s">
        <v>1</v>
      </c>
      <c r="B2" s="1">
        <v>48.3</v>
      </c>
      <c r="C2" s="1"/>
      <c r="D2" s="1"/>
      <c r="E2" s="1"/>
      <c r="F2" s="1"/>
    </row>
    <row r="3" spans="1:6" x14ac:dyDescent="0.2">
      <c r="A3" s="1" t="s">
        <v>2</v>
      </c>
      <c r="B3" s="1">
        <v>65.5</v>
      </c>
      <c r="C3" s="1"/>
      <c r="D3" s="1" t="s">
        <v>3</v>
      </c>
      <c r="E3" s="17">
        <f>AVERAGE(B2:B26)</f>
        <v>36.187999999999995</v>
      </c>
      <c r="F3" s="1"/>
    </row>
    <row r="4" spans="1:6" x14ac:dyDescent="0.2">
      <c r="A4" s="1" t="s">
        <v>4</v>
      </c>
      <c r="B4" s="1">
        <v>55</v>
      </c>
      <c r="C4" s="1"/>
      <c r="D4" s="1" t="s">
        <v>5</v>
      </c>
      <c r="E4" s="1">
        <v>15.6</v>
      </c>
      <c r="F4" s="1"/>
    </row>
    <row r="5" spans="1:6" x14ac:dyDescent="0.2">
      <c r="A5" s="1" t="s">
        <v>6</v>
      </c>
      <c r="B5" s="1">
        <v>54</v>
      </c>
      <c r="C5" s="1"/>
      <c r="D5" s="1" t="s">
        <v>7</v>
      </c>
      <c r="E5" s="1">
        <v>117</v>
      </c>
      <c r="F5" s="1"/>
    </row>
    <row r="6" spans="1:6" x14ac:dyDescent="0.2">
      <c r="A6" s="1" t="s">
        <v>8</v>
      </c>
      <c r="B6" s="1">
        <v>117</v>
      </c>
      <c r="C6" s="1"/>
      <c r="D6" s="1" t="s">
        <v>9</v>
      </c>
      <c r="E6" s="1">
        <v>26.3</v>
      </c>
      <c r="F6" s="1"/>
    </row>
    <row r="7" spans="1:6" x14ac:dyDescent="0.2">
      <c r="A7" s="1" t="s">
        <v>10</v>
      </c>
      <c r="B7" s="1">
        <v>54</v>
      </c>
      <c r="C7" s="1"/>
      <c r="D7" s="1"/>
      <c r="E7" s="1"/>
      <c r="F7" s="1"/>
    </row>
    <row r="8" spans="1:6" x14ac:dyDescent="0.2">
      <c r="A8" s="1" t="s">
        <v>11</v>
      </c>
      <c r="B8" s="1">
        <v>40</v>
      </c>
      <c r="C8" s="1"/>
      <c r="D8" s="1"/>
      <c r="E8" s="1"/>
      <c r="F8" s="1"/>
    </row>
    <row r="9" spans="1:6" x14ac:dyDescent="0.2">
      <c r="A9" s="1" t="s">
        <v>12</v>
      </c>
      <c r="B9" s="1">
        <v>65.3</v>
      </c>
      <c r="C9" s="1"/>
      <c r="D9" s="1"/>
      <c r="E9" s="1"/>
      <c r="F9" s="1"/>
    </row>
    <row r="10" spans="1:6" x14ac:dyDescent="0.2">
      <c r="A10" s="1" t="s">
        <v>13</v>
      </c>
      <c r="B10" s="1">
        <v>27.7</v>
      </c>
      <c r="C10" s="1"/>
      <c r="D10" s="1"/>
      <c r="E10" s="1"/>
      <c r="F10" s="1"/>
    </row>
    <row r="11" spans="1:6" x14ac:dyDescent="0.2">
      <c r="A11" s="1" t="s">
        <v>14</v>
      </c>
      <c r="B11" s="1">
        <v>26.3</v>
      </c>
      <c r="C11" s="1"/>
      <c r="D11" s="1"/>
      <c r="E11" s="1"/>
      <c r="F11" s="1"/>
    </row>
    <row r="12" spans="1:6" x14ac:dyDescent="0.2">
      <c r="A12" s="1" t="s">
        <v>15</v>
      </c>
      <c r="B12" s="1">
        <v>18.8</v>
      </c>
      <c r="C12" s="1"/>
      <c r="D12" s="1"/>
      <c r="E12" s="1"/>
      <c r="F12" s="1"/>
    </row>
    <row r="13" spans="1:6" x14ac:dyDescent="0.2">
      <c r="A13" s="1" t="s">
        <v>16</v>
      </c>
      <c r="B13" s="1">
        <v>26.3</v>
      </c>
      <c r="C13" s="1"/>
      <c r="D13" s="1" t="s">
        <v>72</v>
      </c>
      <c r="E13" s="1"/>
      <c r="F13" s="1"/>
    </row>
    <row r="14" spans="1:6" x14ac:dyDescent="0.2">
      <c r="A14" s="1" t="s">
        <v>17</v>
      </c>
      <c r="B14" s="1">
        <v>15.6</v>
      </c>
      <c r="C14" s="1"/>
      <c r="D14" s="1" t="s">
        <v>4</v>
      </c>
      <c r="E14" s="1">
        <v>46.8</v>
      </c>
      <c r="F14" s="1" t="s">
        <v>18</v>
      </c>
    </row>
    <row r="15" spans="1:6" x14ac:dyDescent="0.2">
      <c r="A15" s="1" t="s">
        <v>19</v>
      </c>
      <c r="B15" s="1">
        <v>25.5</v>
      </c>
      <c r="C15" s="1"/>
      <c r="D15" s="1" t="s">
        <v>4</v>
      </c>
      <c r="E15" s="1">
        <v>65.3</v>
      </c>
      <c r="F15" s="1" t="s">
        <v>20</v>
      </c>
    </row>
    <row r="16" spans="1:6" x14ac:dyDescent="0.2">
      <c r="A16" s="1" t="s">
        <v>21</v>
      </c>
      <c r="B16" s="1">
        <v>24.8</v>
      </c>
      <c r="C16" s="1"/>
      <c r="D16" s="1" t="s">
        <v>8</v>
      </c>
      <c r="E16" s="1">
        <v>77</v>
      </c>
      <c r="F16" s="1" t="s">
        <v>18</v>
      </c>
    </row>
    <row r="17" spans="1:6" x14ac:dyDescent="0.2">
      <c r="A17" s="1" t="s">
        <v>22</v>
      </c>
      <c r="B17" s="1">
        <v>28.8</v>
      </c>
      <c r="C17" s="1"/>
      <c r="D17" s="1" t="s">
        <v>8</v>
      </c>
      <c r="E17" s="1">
        <v>117</v>
      </c>
      <c r="F17" s="1" t="s">
        <v>20</v>
      </c>
    </row>
    <row r="18" spans="1:6" x14ac:dyDescent="0.2">
      <c r="A18" s="1" t="s">
        <v>23</v>
      </c>
      <c r="B18" s="1">
        <v>24.8</v>
      </c>
      <c r="C18" s="1"/>
      <c r="D18" s="1"/>
      <c r="E18" s="1"/>
      <c r="F18" s="1"/>
    </row>
    <row r="19" spans="1:6" x14ac:dyDescent="0.2">
      <c r="A19" s="1" t="s">
        <v>24</v>
      </c>
      <c r="B19" s="1">
        <v>25.9</v>
      </c>
      <c r="C19" s="1"/>
      <c r="D19" s="1"/>
      <c r="E19" s="1"/>
      <c r="F19" s="1"/>
    </row>
    <row r="20" spans="1:6" x14ac:dyDescent="0.2">
      <c r="A20" s="1" t="s">
        <v>25</v>
      </c>
      <c r="B20" s="1">
        <v>31.3</v>
      </c>
      <c r="C20" s="1"/>
      <c r="D20" s="1"/>
      <c r="E20" s="1"/>
      <c r="F20" s="1"/>
    </row>
    <row r="21" spans="1:6" x14ac:dyDescent="0.2">
      <c r="A21" s="1" t="s">
        <v>26</v>
      </c>
      <c r="B21" s="1">
        <v>21.8</v>
      </c>
      <c r="C21" s="1"/>
      <c r="D21" s="1"/>
      <c r="E21" s="1"/>
      <c r="F21" s="1"/>
    </row>
    <row r="22" spans="1:6" x14ac:dyDescent="0.2">
      <c r="A22" s="1" t="s">
        <v>27</v>
      </c>
      <c r="B22" s="1">
        <v>19.399999999999999</v>
      </c>
      <c r="C22" s="1"/>
      <c r="D22" s="1"/>
      <c r="E22" s="1"/>
      <c r="F22" s="1"/>
    </row>
    <row r="23" spans="1:6" x14ac:dyDescent="0.2">
      <c r="A23" s="1" t="s">
        <v>28</v>
      </c>
      <c r="B23" s="1">
        <v>25.2</v>
      </c>
      <c r="C23" s="1"/>
      <c r="D23" s="1"/>
      <c r="E23" s="1"/>
      <c r="F23" s="1"/>
    </row>
    <row r="24" spans="1:6" x14ac:dyDescent="0.2">
      <c r="A24" s="1" t="s">
        <v>29</v>
      </c>
      <c r="B24" s="1">
        <v>19.7</v>
      </c>
      <c r="C24" s="1"/>
      <c r="D24" s="1"/>
      <c r="E24" s="1"/>
      <c r="F24" s="1"/>
    </row>
    <row r="25" spans="1:6" x14ac:dyDescent="0.2">
      <c r="A25" s="1" t="s">
        <v>30</v>
      </c>
      <c r="B25" s="1">
        <v>20</v>
      </c>
      <c r="C25" s="1"/>
      <c r="D25" s="1"/>
      <c r="E25" s="1"/>
      <c r="F25" s="1"/>
    </row>
    <row r="26" spans="1:6" x14ac:dyDescent="0.2">
      <c r="A26" s="1" t="s">
        <v>31</v>
      </c>
      <c r="B26" s="1">
        <v>23.7</v>
      </c>
      <c r="C26" s="1"/>
      <c r="D26" s="1"/>
      <c r="E26" s="1"/>
      <c r="F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A26B-D4DA-2A49-A210-090309CC9440}">
  <dimension ref="A1:W38"/>
  <sheetViews>
    <sheetView workbookViewId="0">
      <selection activeCell="C1" sqref="C1"/>
    </sheetView>
  </sheetViews>
  <sheetFormatPr baseColWidth="10" defaultRowHeight="16" x14ac:dyDescent="0.2"/>
  <cols>
    <col min="1" max="1" width="21.1640625" style="2" customWidth="1"/>
    <col min="2" max="2" width="28.1640625" style="2" customWidth="1"/>
    <col min="3" max="16384" width="10.83203125" style="2"/>
  </cols>
  <sheetData>
    <row r="1" spans="1:21" ht="15.75" customHeight="1" x14ac:dyDescent="0.2">
      <c r="A1" s="5" t="s">
        <v>33</v>
      </c>
      <c r="B1" s="5"/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  <c r="N1" s="5" t="s">
        <v>45</v>
      </c>
      <c r="O1" s="5" t="s">
        <v>46</v>
      </c>
      <c r="P1" s="5" t="s">
        <v>47</v>
      </c>
      <c r="Q1" s="5" t="s">
        <v>48</v>
      </c>
      <c r="R1" s="5" t="s">
        <v>49</v>
      </c>
      <c r="S1" s="5" t="s">
        <v>50</v>
      </c>
      <c r="T1" s="5" t="s">
        <v>51</v>
      </c>
      <c r="U1" s="5" t="s">
        <v>52</v>
      </c>
    </row>
    <row r="2" spans="1:21" s="6" customFormat="1" ht="15.75" customHeight="1" x14ac:dyDescent="0.2">
      <c r="A2" s="7" t="s">
        <v>1</v>
      </c>
      <c r="B2" s="7" t="s">
        <v>53</v>
      </c>
      <c r="C2" s="7" t="s">
        <v>55</v>
      </c>
      <c r="D2" s="7" t="s">
        <v>54</v>
      </c>
      <c r="E2" s="14">
        <v>3</v>
      </c>
      <c r="F2" s="7"/>
      <c r="G2" s="7"/>
      <c r="H2" s="7">
        <v>0.1</v>
      </c>
      <c r="I2" s="7">
        <v>0.4</v>
      </c>
      <c r="J2" s="7"/>
      <c r="P2" s="7">
        <v>0.7</v>
      </c>
      <c r="Q2" s="7">
        <v>72.2</v>
      </c>
      <c r="T2" s="7">
        <v>26.2</v>
      </c>
      <c r="U2" s="7">
        <f t="shared" ref="U2:U26" si="0">SUM(F2:T2)</f>
        <v>99.600000000000009</v>
      </c>
    </row>
    <row r="3" spans="1:21" s="6" customFormat="1" ht="15.75" customHeight="1" x14ac:dyDescent="0.2">
      <c r="A3" s="7" t="s">
        <v>2</v>
      </c>
      <c r="B3" s="7" t="s">
        <v>53</v>
      </c>
      <c r="C3" s="7" t="s">
        <v>55</v>
      </c>
      <c r="D3" s="7" t="s">
        <v>54</v>
      </c>
      <c r="E3" s="14">
        <v>5</v>
      </c>
      <c r="F3" s="7">
        <v>0.2</v>
      </c>
      <c r="G3" s="7"/>
      <c r="H3" s="7">
        <v>0.3</v>
      </c>
      <c r="I3" s="7">
        <v>0.3</v>
      </c>
      <c r="J3" s="7"/>
      <c r="P3" s="7">
        <v>0.3</v>
      </c>
      <c r="Q3" s="7">
        <v>70.2</v>
      </c>
      <c r="T3" s="7">
        <v>28.1</v>
      </c>
      <c r="U3" s="7">
        <f t="shared" si="0"/>
        <v>99.4</v>
      </c>
    </row>
    <row r="4" spans="1:21" s="6" customFormat="1" ht="15.75" customHeight="1" x14ac:dyDescent="0.2">
      <c r="A4" s="7" t="s">
        <v>6</v>
      </c>
      <c r="B4" s="7" t="s">
        <v>53</v>
      </c>
      <c r="C4" s="7" t="s">
        <v>55</v>
      </c>
      <c r="D4" s="7" t="s">
        <v>54</v>
      </c>
      <c r="E4" s="14">
        <v>4</v>
      </c>
      <c r="F4" s="7"/>
      <c r="G4" s="7"/>
      <c r="H4" s="7">
        <v>0.3</v>
      </c>
      <c r="I4" s="7">
        <v>0.2</v>
      </c>
      <c r="J4" s="7"/>
      <c r="P4" s="7">
        <v>0.7</v>
      </c>
      <c r="Q4" s="7">
        <v>71.3</v>
      </c>
      <c r="T4" s="7">
        <v>26.9</v>
      </c>
      <c r="U4" s="7">
        <f t="shared" si="0"/>
        <v>99.4</v>
      </c>
    </row>
    <row r="5" spans="1:21" s="6" customFormat="1" ht="15.75" customHeight="1" x14ac:dyDescent="0.2">
      <c r="A5" s="7" t="s">
        <v>11</v>
      </c>
      <c r="B5" s="7" t="s">
        <v>53</v>
      </c>
      <c r="C5" s="7" t="s">
        <v>55</v>
      </c>
      <c r="D5" s="7" t="s">
        <v>54</v>
      </c>
      <c r="E5" s="14">
        <v>4</v>
      </c>
      <c r="F5" s="7"/>
      <c r="G5" s="7"/>
      <c r="H5" s="7">
        <v>0.2</v>
      </c>
      <c r="I5" s="7"/>
      <c r="J5" s="7"/>
      <c r="P5" s="7"/>
      <c r="Q5" s="7">
        <v>67.3</v>
      </c>
      <c r="T5" s="7">
        <v>31.9</v>
      </c>
      <c r="U5" s="7">
        <f t="shared" si="0"/>
        <v>99.4</v>
      </c>
    </row>
    <row r="6" spans="1:21" s="6" customFormat="1" ht="15.75" customHeight="1" x14ac:dyDescent="0.2">
      <c r="A6" s="7" t="s">
        <v>63</v>
      </c>
      <c r="B6" s="7" t="s">
        <v>53</v>
      </c>
      <c r="C6" s="7" t="s">
        <v>55</v>
      </c>
      <c r="D6" s="7" t="s">
        <v>54</v>
      </c>
      <c r="E6" s="14">
        <v>3</v>
      </c>
      <c r="F6" s="7"/>
      <c r="G6" s="7"/>
      <c r="H6" s="7"/>
      <c r="I6" s="7">
        <v>0.6</v>
      </c>
      <c r="J6" s="7"/>
      <c r="O6" s="7">
        <v>0.6</v>
      </c>
      <c r="P6" s="7"/>
      <c r="Q6" s="7">
        <v>69.599999999999994</v>
      </c>
      <c r="R6" s="7"/>
      <c r="T6" s="7">
        <v>25.9</v>
      </c>
      <c r="U6" s="7">
        <f t="shared" si="0"/>
        <v>96.699999999999989</v>
      </c>
    </row>
    <row r="7" spans="1:21" s="6" customFormat="1" ht="15.75" customHeight="1" x14ac:dyDescent="0.2">
      <c r="A7" s="7" t="s">
        <v>8</v>
      </c>
      <c r="B7" s="7" t="s">
        <v>53</v>
      </c>
      <c r="C7" s="7" t="s">
        <v>55</v>
      </c>
      <c r="D7" s="7" t="s">
        <v>54</v>
      </c>
      <c r="E7" s="14">
        <v>5</v>
      </c>
      <c r="F7" s="7">
        <v>0.1</v>
      </c>
      <c r="G7" s="7"/>
      <c r="H7" s="7">
        <v>1.1000000000000001</v>
      </c>
      <c r="I7" s="7">
        <v>0.1</v>
      </c>
      <c r="J7" s="7"/>
      <c r="P7" s="7">
        <v>0.4</v>
      </c>
      <c r="Q7" s="7">
        <v>70.599999999999994</v>
      </c>
      <c r="T7" s="7">
        <v>27.3</v>
      </c>
      <c r="U7" s="7">
        <f t="shared" si="0"/>
        <v>99.6</v>
      </c>
    </row>
    <row r="8" spans="1:21" s="6" customFormat="1" ht="15.75" customHeight="1" x14ac:dyDescent="0.2">
      <c r="A8" s="7" t="s">
        <v>10</v>
      </c>
      <c r="B8" s="7" t="s">
        <v>53</v>
      </c>
      <c r="C8" s="7" t="s">
        <v>55</v>
      </c>
      <c r="D8" s="7" t="s">
        <v>54</v>
      </c>
      <c r="E8" s="14">
        <v>5</v>
      </c>
      <c r="F8" s="7">
        <v>0.7</v>
      </c>
      <c r="G8" s="7"/>
      <c r="H8" s="7"/>
      <c r="I8" s="7">
        <v>0.6</v>
      </c>
      <c r="J8" s="7"/>
      <c r="P8" s="7">
        <v>0.4</v>
      </c>
      <c r="Q8" s="7">
        <v>69.400000000000006</v>
      </c>
      <c r="T8" s="7">
        <v>28.9</v>
      </c>
      <c r="U8" s="7">
        <f t="shared" si="0"/>
        <v>100</v>
      </c>
    </row>
    <row r="9" spans="1:21" s="6" customFormat="1" ht="15.75" customHeight="1" x14ac:dyDescent="0.2">
      <c r="A9" s="16" t="s">
        <v>11</v>
      </c>
      <c r="B9" s="7" t="s">
        <v>53</v>
      </c>
      <c r="C9" s="7" t="s">
        <v>55</v>
      </c>
      <c r="D9" s="7" t="s">
        <v>54</v>
      </c>
      <c r="E9" s="14">
        <v>6</v>
      </c>
      <c r="F9" s="7"/>
      <c r="G9" s="7"/>
      <c r="H9" s="7"/>
      <c r="I9" s="7"/>
      <c r="J9" s="15">
        <v>0.8</v>
      </c>
      <c r="P9" s="7">
        <v>2.4</v>
      </c>
      <c r="Q9" s="7">
        <v>64.2</v>
      </c>
      <c r="T9" s="7">
        <v>31.8</v>
      </c>
      <c r="U9" s="7">
        <f t="shared" si="0"/>
        <v>99.2</v>
      </c>
    </row>
    <row r="10" spans="1:21" s="6" customFormat="1" ht="15.75" customHeight="1" x14ac:dyDescent="0.2">
      <c r="A10" s="15" t="s">
        <v>12</v>
      </c>
      <c r="B10" s="7" t="s">
        <v>53</v>
      </c>
      <c r="C10" s="7" t="s">
        <v>55</v>
      </c>
      <c r="D10" s="7" t="s">
        <v>54</v>
      </c>
      <c r="E10" s="14">
        <v>3</v>
      </c>
      <c r="F10" s="7"/>
      <c r="G10" s="7"/>
      <c r="H10" s="7">
        <v>0.1</v>
      </c>
      <c r="I10" s="7"/>
      <c r="J10" s="7"/>
      <c r="P10" s="7">
        <v>0.4</v>
      </c>
      <c r="Q10" s="7">
        <f>45.7+27.5</f>
        <v>73.2</v>
      </c>
      <c r="T10" s="7">
        <v>25.9</v>
      </c>
      <c r="U10" s="7">
        <f t="shared" si="0"/>
        <v>99.6</v>
      </c>
    </row>
    <row r="11" spans="1:21" s="6" customFormat="1" ht="15.75" customHeight="1" x14ac:dyDescent="0.2">
      <c r="A11" s="8" t="s">
        <v>13</v>
      </c>
      <c r="B11" s="7" t="s">
        <v>71</v>
      </c>
      <c r="C11" s="7" t="s">
        <v>55</v>
      </c>
      <c r="D11" s="7" t="s">
        <v>54</v>
      </c>
      <c r="E11" s="14">
        <v>3</v>
      </c>
      <c r="F11" s="7"/>
      <c r="G11" s="7"/>
      <c r="H11" s="7">
        <v>0.3</v>
      </c>
      <c r="I11" s="7">
        <v>0.5</v>
      </c>
      <c r="M11" s="7">
        <v>0.5</v>
      </c>
      <c r="P11" s="7"/>
      <c r="Q11" s="7">
        <v>71.5</v>
      </c>
      <c r="T11" s="7">
        <v>27.1</v>
      </c>
      <c r="U11" s="7">
        <f t="shared" si="0"/>
        <v>99.9</v>
      </c>
    </row>
    <row r="12" spans="1:21" s="6" customFormat="1" ht="15.75" customHeight="1" x14ac:dyDescent="0.2">
      <c r="A12" s="8" t="s">
        <v>14</v>
      </c>
      <c r="B12" s="7" t="s">
        <v>71</v>
      </c>
      <c r="C12" s="7" t="s">
        <v>55</v>
      </c>
      <c r="D12" s="7" t="s">
        <v>54</v>
      </c>
      <c r="E12" s="14">
        <v>3</v>
      </c>
      <c r="F12" s="7"/>
      <c r="G12" s="7"/>
      <c r="H12" s="7"/>
      <c r="I12" s="7"/>
      <c r="P12" s="7"/>
      <c r="Q12" s="7">
        <v>74.5</v>
      </c>
      <c r="T12" s="7">
        <v>25.5</v>
      </c>
      <c r="U12" s="7">
        <f t="shared" si="0"/>
        <v>100</v>
      </c>
    </row>
    <row r="13" spans="1:21" s="6" customFormat="1" ht="15.75" customHeight="1" x14ac:dyDescent="0.2">
      <c r="A13" s="7" t="s">
        <v>15</v>
      </c>
      <c r="B13" s="7" t="s">
        <v>58</v>
      </c>
      <c r="C13" s="7" t="s">
        <v>55</v>
      </c>
      <c r="D13" s="7" t="s">
        <v>54</v>
      </c>
      <c r="E13" s="14">
        <v>2</v>
      </c>
      <c r="F13" s="7"/>
      <c r="G13" s="7"/>
      <c r="H13" s="7">
        <v>0.2</v>
      </c>
      <c r="I13" s="7">
        <v>0.2</v>
      </c>
      <c r="P13" s="7"/>
      <c r="Q13" s="7">
        <v>74.099999999999994</v>
      </c>
      <c r="T13" s="7">
        <v>25.6</v>
      </c>
      <c r="U13" s="7">
        <f t="shared" si="0"/>
        <v>100.1</v>
      </c>
    </row>
    <row r="14" spans="1:21" s="6" customFormat="1" ht="15.75" customHeight="1" x14ac:dyDescent="0.2">
      <c r="A14" s="7" t="s">
        <v>16</v>
      </c>
      <c r="B14" s="7" t="s">
        <v>53</v>
      </c>
      <c r="C14" s="7" t="s">
        <v>55</v>
      </c>
      <c r="D14" s="7" t="s">
        <v>54</v>
      </c>
      <c r="E14" s="14">
        <v>4</v>
      </c>
      <c r="F14" s="7"/>
      <c r="G14" s="7"/>
      <c r="H14" s="7">
        <v>0.41</v>
      </c>
      <c r="I14" s="7"/>
      <c r="J14" s="7"/>
      <c r="P14" s="7"/>
      <c r="Q14" s="7">
        <v>75.010000000000005</v>
      </c>
      <c r="T14" s="7">
        <v>24.13</v>
      </c>
      <c r="U14" s="7">
        <f t="shared" si="0"/>
        <v>99.55</v>
      </c>
    </row>
    <row r="15" spans="1:21" s="6" customFormat="1" ht="15.75" customHeight="1" x14ac:dyDescent="0.2">
      <c r="A15" s="7" t="s">
        <v>16</v>
      </c>
      <c r="B15" s="7" t="s">
        <v>58</v>
      </c>
      <c r="C15" s="7" t="s">
        <v>55</v>
      </c>
      <c r="D15" s="7" t="s">
        <v>54</v>
      </c>
      <c r="E15" s="14">
        <v>3</v>
      </c>
      <c r="F15" s="7"/>
      <c r="G15" s="7"/>
      <c r="H15" s="7">
        <v>0.6</v>
      </c>
      <c r="I15" s="7">
        <v>0.2</v>
      </c>
      <c r="P15" s="7"/>
      <c r="Q15" s="7">
        <v>73.2</v>
      </c>
      <c r="T15" s="7">
        <v>26</v>
      </c>
      <c r="U15" s="7">
        <f t="shared" si="0"/>
        <v>100</v>
      </c>
    </row>
    <row r="16" spans="1:21" s="6" customFormat="1" ht="15.75" customHeight="1" x14ac:dyDescent="0.2">
      <c r="A16" s="7" t="s">
        <v>17</v>
      </c>
      <c r="B16" s="7" t="s">
        <v>58</v>
      </c>
      <c r="C16" s="7" t="s">
        <v>55</v>
      </c>
      <c r="D16" s="7" t="s">
        <v>54</v>
      </c>
      <c r="E16" s="14">
        <v>3</v>
      </c>
      <c r="F16" s="7"/>
      <c r="G16" s="7"/>
      <c r="H16" s="7">
        <v>0.1</v>
      </c>
      <c r="I16" s="7">
        <v>0.4</v>
      </c>
      <c r="P16" s="7">
        <v>1.8</v>
      </c>
      <c r="Q16" s="7">
        <v>69.400000000000006</v>
      </c>
      <c r="T16" s="7">
        <v>28.3</v>
      </c>
      <c r="U16" s="7">
        <f t="shared" si="0"/>
        <v>100</v>
      </c>
    </row>
    <row r="17" spans="1:23" s="6" customFormat="1" ht="15.75" customHeight="1" x14ac:dyDescent="0.2">
      <c r="A17" s="7" t="s">
        <v>19</v>
      </c>
      <c r="B17" s="7" t="s">
        <v>58</v>
      </c>
      <c r="C17" s="7" t="s">
        <v>55</v>
      </c>
      <c r="D17" s="7" t="s">
        <v>54</v>
      </c>
      <c r="E17" s="14">
        <v>3</v>
      </c>
      <c r="F17" s="7"/>
      <c r="G17" s="7"/>
      <c r="H17" s="7">
        <v>1</v>
      </c>
      <c r="I17" s="7">
        <v>0.1</v>
      </c>
      <c r="P17" s="7"/>
      <c r="Q17" s="7">
        <v>73.5</v>
      </c>
      <c r="T17" s="7">
        <v>25.4</v>
      </c>
      <c r="U17" s="7">
        <f t="shared" si="0"/>
        <v>100</v>
      </c>
    </row>
    <row r="18" spans="1:23" s="6" customFormat="1" ht="15.75" customHeight="1" x14ac:dyDescent="0.2">
      <c r="A18" s="7" t="s">
        <v>24</v>
      </c>
      <c r="B18" s="7" t="s">
        <v>58</v>
      </c>
      <c r="C18" s="7" t="s">
        <v>55</v>
      </c>
      <c r="D18" s="7" t="s">
        <v>54</v>
      </c>
      <c r="E18" s="14">
        <v>3</v>
      </c>
      <c r="F18" s="7"/>
      <c r="G18" s="7"/>
      <c r="H18" s="7">
        <v>0.2</v>
      </c>
      <c r="I18" s="7">
        <v>0.2</v>
      </c>
      <c r="P18" s="7"/>
      <c r="Q18" s="7">
        <v>73.7</v>
      </c>
      <c r="T18" s="7">
        <v>25.9</v>
      </c>
      <c r="U18" s="7">
        <f t="shared" si="0"/>
        <v>100</v>
      </c>
    </row>
    <row r="19" spans="1:23" s="6" customFormat="1" ht="15.75" customHeight="1" x14ac:dyDescent="0.2">
      <c r="A19" s="7" t="s">
        <v>25</v>
      </c>
      <c r="B19" s="7" t="s">
        <v>53</v>
      </c>
      <c r="C19" s="7" t="s">
        <v>56</v>
      </c>
      <c r="D19" s="7" t="s">
        <v>54</v>
      </c>
      <c r="E19" s="14">
        <v>3</v>
      </c>
      <c r="F19" s="7"/>
      <c r="G19" s="7"/>
      <c r="H19" s="7">
        <v>0.2</v>
      </c>
      <c r="I19" s="7"/>
      <c r="P19" s="7"/>
      <c r="Q19" s="7">
        <f>41.7+30.6</f>
        <v>72.300000000000011</v>
      </c>
      <c r="T19" s="7">
        <v>27.1</v>
      </c>
      <c r="U19" s="7">
        <f t="shared" si="0"/>
        <v>99.600000000000023</v>
      </c>
    </row>
    <row r="20" spans="1:23" s="6" customFormat="1" ht="15.75" customHeight="1" x14ac:dyDescent="0.2">
      <c r="A20" s="7" t="s">
        <v>25</v>
      </c>
      <c r="B20" s="7" t="s">
        <v>58</v>
      </c>
      <c r="C20" s="7" t="s">
        <v>55</v>
      </c>
      <c r="D20" s="7" t="s">
        <v>54</v>
      </c>
      <c r="E20" s="14">
        <v>3</v>
      </c>
      <c r="F20" s="7"/>
      <c r="G20" s="7"/>
      <c r="H20" s="7">
        <v>0.1</v>
      </c>
      <c r="I20" s="7">
        <v>0.2</v>
      </c>
      <c r="P20" s="7"/>
      <c r="Q20" s="7">
        <v>75</v>
      </c>
      <c r="T20" s="7">
        <v>24.7</v>
      </c>
      <c r="U20" s="7">
        <f t="shared" si="0"/>
        <v>100</v>
      </c>
    </row>
    <row r="21" spans="1:23" s="6" customFormat="1" ht="15.75" customHeight="1" x14ac:dyDescent="0.2">
      <c r="A21" s="7" t="s">
        <v>59</v>
      </c>
      <c r="B21" s="7" t="s">
        <v>58</v>
      </c>
      <c r="C21" s="7" t="s">
        <v>55</v>
      </c>
      <c r="D21" s="7" t="s">
        <v>54</v>
      </c>
      <c r="E21" s="14">
        <v>3</v>
      </c>
      <c r="F21" s="7"/>
      <c r="G21" s="7"/>
      <c r="H21" s="7">
        <v>0.8</v>
      </c>
      <c r="I21" s="7">
        <v>1</v>
      </c>
      <c r="M21" s="7">
        <v>6</v>
      </c>
      <c r="P21" s="7"/>
      <c r="Q21" s="7">
        <v>64.5</v>
      </c>
      <c r="T21" s="7">
        <v>27.7</v>
      </c>
      <c r="U21" s="7">
        <f t="shared" si="0"/>
        <v>100</v>
      </c>
    </row>
    <row r="22" spans="1:23" s="6" customFormat="1" ht="15.75" customHeight="1" x14ac:dyDescent="0.2">
      <c r="A22" s="7" t="s">
        <v>28</v>
      </c>
      <c r="B22" s="7" t="s">
        <v>53</v>
      </c>
      <c r="C22" s="7" t="s">
        <v>55</v>
      </c>
      <c r="D22" s="7" t="s">
        <v>54</v>
      </c>
      <c r="E22" s="14">
        <v>3</v>
      </c>
      <c r="F22" s="7"/>
      <c r="G22" s="7"/>
      <c r="H22" s="7">
        <v>0.1</v>
      </c>
      <c r="I22" s="7"/>
      <c r="P22" s="7"/>
      <c r="Q22" s="7">
        <v>72.400000000000006</v>
      </c>
      <c r="T22" s="7">
        <v>27.1</v>
      </c>
      <c r="U22" s="7">
        <f t="shared" si="0"/>
        <v>99.6</v>
      </c>
    </row>
    <row r="23" spans="1:23" s="6" customFormat="1" ht="15.75" customHeight="1" x14ac:dyDescent="0.2">
      <c r="A23" s="7" t="s">
        <v>28</v>
      </c>
      <c r="B23" s="7" t="s">
        <v>58</v>
      </c>
      <c r="C23" s="7" t="s">
        <v>55</v>
      </c>
      <c r="D23" s="7" t="s">
        <v>54</v>
      </c>
      <c r="E23" s="14">
        <v>3</v>
      </c>
      <c r="F23" s="7">
        <v>0.3</v>
      </c>
      <c r="G23" s="7">
        <v>0.1</v>
      </c>
      <c r="H23" s="7">
        <v>0.2</v>
      </c>
      <c r="I23" s="7">
        <v>0.1</v>
      </c>
      <c r="P23" s="7"/>
      <c r="Q23" s="7">
        <v>73.400000000000006</v>
      </c>
      <c r="T23" s="7">
        <v>26</v>
      </c>
      <c r="U23" s="7">
        <f t="shared" si="0"/>
        <v>100.10000000000001</v>
      </c>
    </row>
    <row r="24" spans="1:23" s="6" customFormat="1" ht="15.75" customHeight="1" x14ac:dyDescent="0.2">
      <c r="A24" s="7" t="s">
        <v>29</v>
      </c>
      <c r="B24" s="7" t="s">
        <v>58</v>
      </c>
      <c r="C24" s="7" t="s">
        <v>55</v>
      </c>
      <c r="D24" s="7" t="s">
        <v>54</v>
      </c>
      <c r="E24" s="14">
        <v>3</v>
      </c>
      <c r="F24" s="7">
        <v>0.1</v>
      </c>
      <c r="G24" s="7">
        <v>0.1</v>
      </c>
      <c r="H24" s="7">
        <v>0.5</v>
      </c>
      <c r="I24" s="7">
        <v>0.1</v>
      </c>
      <c r="P24" s="7"/>
      <c r="Q24" s="7">
        <f>57.8+17.5</f>
        <v>75.3</v>
      </c>
      <c r="T24" s="7">
        <v>23.9</v>
      </c>
      <c r="U24" s="7">
        <f t="shared" si="0"/>
        <v>100</v>
      </c>
    </row>
    <row r="25" spans="1:23" s="6" customFormat="1" ht="15.75" customHeight="1" x14ac:dyDescent="0.2">
      <c r="A25" s="7" t="s">
        <v>30</v>
      </c>
      <c r="B25" s="7" t="s">
        <v>58</v>
      </c>
      <c r="C25" s="7" t="s">
        <v>55</v>
      </c>
      <c r="D25" s="7" t="s">
        <v>54</v>
      </c>
      <c r="E25" s="14">
        <v>3</v>
      </c>
      <c r="F25" s="7"/>
      <c r="G25" s="7"/>
      <c r="H25" s="7">
        <v>0.2</v>
      </c>
      <c r="I25" s="7">
        <v>0.1</v>
      </c>
      <c r="P25" s="7"/>
      <c r="Q25" s="7">
        <v>71.7</v>
      </c>
      <c r="T25" s="7">
        <v>28</v>
      </c>
      <c r="U25" s="7">
        <f t="shared" si="0"/>
        <v>100</v>
      </c>
    </row>
    <row r="26" spans="1:23" s="6" customFormat="1" ht="15.75" customHeight="1" x14ac:dyDescent="0.2">
      <c r="A26" s="7" t="s">
        <v>31</v>
      </c>
      <c r="B26" s="7" t="s">
        <v>53</v>
      </c>
      <c r="C26" s="7" t="s">
        <v>57</v>
      </c>
      <c r="D26" s="7" t="s">
        <v>54</v>
      </c>
      <c r="E26" s="14">
        <v>3</v>
      </c>
      <c r="F26" s="7"/>
      <c r="G26" s="7"/>
      <c r="H26" s="7">
        <v>0.1</v>
      </c>
      <c r="I26" s="7">
        <v>0.3</v>
      </c>
      <c r="P26" s="7">
        <v>0.5</v>
      </c>
      <c r="Q26" s="7">
        <v>71.3</v>
      </c>
      <c r="T26" s="7">
        <v>27.3</v>
      </c>
      <c r="U26" s="7">
        <f t="shared" si="0"/>
        <v>99.5</v>
      </c>
    </row>
    <row r="27" spans="1:23" s="10" customFormat="1" ht="15.75" customHeight="1" x14ac:dyDescent="0.2">
      <c r="A27" s="9" t="s">
        <v>7</v>
      </c>
      <c r="F27" s="11">
        <f t="shared" ref="F27:R27" si="1">MAX(F2:F26)</f>
        <v>0.7</v>
      </c>
      <c r="G27" s="11">
        <f t="shared" si="1"/>
        <v>0.1</v>
      </c>
      <c r="H27" s="11">
        <f t="shared" si="1"/>
        <v>1.1000000000000001</v>
      </c>
      <c r="I27" s="11">
        <f t="shared" si="1"/>
        <v>1</v>
      </c>
      <c r="J27" s="11">
        <f t="shared" si="1"/>
        <v>0.8</v>
      </c>
      <c r="K27" s="11"/>
      <c r="L27" s="11"/>
      <c r="M27" s="11">
        <f t="shared" si="1"/>
        <v>6</v>
      </c>
      <c r="N27" s="11"/>
      <c r="O27" s="11">
        <f t="shared" si="1"/>
        <v>0.6</v>
      </c>
      <c r="P27" s="11">
        <f t="shared" si="1"/>
        <v>2.4</v>
      </c>
      <c r="Q27" s="11">
        <f t="shared" si="1"/>
        <v>75.3</v>
      </c>
      <c r="R27" s="11"/>
      <c r="S27" s="11"/>
      <c r="T27" s="11">
        <f>MAX(T2:T26)</f>
        <v>31.9</v>
      </c>
      <c r="U27" s="11"/>
      <c r="V27" s="11"/>
      <c r="W27" s="11"/>
    </row>
    <row r="28" spans="1:23" s="10" customFormat="1" ht="15.75" customHeight="1" x14ac:dyDescent="0.2">
      <c r="A28" s="9" t="s">
        <v>5</v>
      </c>
      <c r="F28" s="11"/>
      <c r="G28" s="11"/>
      <c r="H28" s="11"/>
      <c r="I28" s="11"/>
      <c r="J28" s="11"/>
      <c r="Q28" s="11">
        <f>MIN(Q2:Q26)</f>
        <v>64.2</v>
      </c>
      <c r="T28" s="11">
        <f>MIN(T2:T26)</f>
        <v>23.9</v>
      </c>
      <c r="U28" s="11">
        <f>SUM(F28:T28)</f>
        <v>88.1</v>
      </c>
    </row>
    <row r="29" spans="1:23" s="10" customFormat="1" ht="15.75" customHeight="1" x14ac:dyDescent="0.2">
      <c r="A29" s="9" t="s">
        <v>70</v>
      </c>
      <c r="H29" s="4">
        <f>SUM(H2:H26)/25</f>
        <v>0.28439999999999999</v>
      </c>
      <c r="I29" s="4">
        <f t="shared" ref="I29:U29" si="2">SUM(I2:I26)/25</f>
        <v>0.22399999999999998</v>
      </c>
      <c r="J29" s="4"/>
      <c r="K29" s="4"/>
      <c r="L29" s="4"/>
      <c r="M29" s="4"/>
      <c r="N29" s="4"/>
      <c r="O29" s="4"/>
      <c r="P29" s="4">
        <f t="shared" si="2"/>
        <v>0.30400000000000005</v>
      </c>
      <c r="Q29" s="4">
        <f t="shared" si="2"/>
        <v>71.55240000000002</v>
      </c>
      <c r="R29" s="4"/>
      <c r="S29" s="4"/>
      <c r="T29" s="4">
        <f t="shared" si="2"/>
        <v>26.905200000000004</v>
      </c>
      <c r="U29" s="4">
        <f t="shared" si="2"/>
        <v>99.649999999999977</v>
      </c>
    </row>
    <row r="30" spans="1:23" s="10" customFormat="1" ht="15.75" customHeight="1" x14ac:dyDescent="0.2">
      <c r="A30" s="9" t="s">
        <v>60</v>
      </c>
      <c r="H30" s="4">
        <f>STDEV(H2:H26)*2</f>
        <v>0.598474250550037</v>
      </c>
      <c r="I30" s="4">
        <f>STDEV(I2:I26)*2</f>
        <v>0.47965128945633428</v>
      </c>
      <c r="J30" s="11"/>
      <c r="M30" s="11"/>
      <c r="P30" s="4">
        <f>STDEV(P2:P26)*2</f>
        <v>1.4802402207449679</v>
      </c>
      <c r="Q30" s="4">
        <f>STDEV(Q2:Q26)*2</f>
        <v>5.9139870363965681</v>
      </c>
      <c r="T30" s="4">
        <f>STDEV(T2:T26)*2</f>
        <v>3.8991927369649231</v>
      </c>
      <c r="U30" s="4">
        <f>STDEV(U2:U26)*2</f>
        <v>1.3435028842544445</v>
      </c>
    </row>
    <row r="31" spans="1:23" s="13" customFormat="1" ht="15.75" customHeight="1" x14ac:dyDescent="0.2">
      <c r="A31" s="12"/>
      <c r="C31" s="12"/>
      <c r="D31" s="12"/>
      <c r="F31" s="12"/>
      <c r="G31" s="12"/>
      <c r="H31" s="12"/>
      <c r="I31" s="12"/>
      <c r="L31" s="12"/>
      <c r="M31" s="12"/>
      <c r="P31" s="12"/>
      <c r="Q31" s="12"/>
      <c r="T31" s="12"/>
    </row>
    <row r="32" spans="1:23" s="13" customFormat="1" ht="16" customHeight="1" x14ac:dyDescent="0.2">
      <c r="A32" s="12"/>
      <c r="C32" s="12"/>
      <c r="D32" s="12"/>
      <c r="F32" s="12"/>
      <c r="G32" s="12"/>
      <c r="H32" s="12"/>
      <c r="I32" s="12"/>
      <c r="L32" s="12"/>
      <c r="M32" s="12"/>
      <c r="P32" s="12"/>
      <c r="Q32" s="12"/>
      <c r="T32" s="12"/>
    </row>
    <row r="33" spans="1:21" s="6" customFormat="1" ht="15.75" customHeight="1" x14ac:dyDescent="0.2">
      <c r="A33" s="7" t="s">
        <v>64</v>
      </c>
      <c r="B33" s="6" t="s">
        <v>66</v>
      </c>
      <c r="C33" s="7" t="s">
        <v>68</v>
      </c>
      <c r="D33" s="7" t="s">
        <v>61</v>
      </c>
      <c r="F33" s="7">
        <v>0.1</v>
      </c>
      <c r="G33" s="7">
        <v>7.6</v>
      </c>
      <c r="H33" s="7">
        <v>0.9</v>
      </c>
      <c r="I33" s="7">
        <v>9.8000000000000007</v>
      </c>
      <c r="L33" s="7">
        <v>0.3</v>
      </c>
      <c r="M33" s="7">
        <v>17</v>
      </c>
      <c r="P33" s="7">
        <v>0</v>
      </c>
      <c r="Q33" s="7">
        <v>1.2</v>
      </c>
      <c r="T33" s="7">
        <v>47.5</v>
      </c>
    </row>
    <row r="34" spans="1:21" s="6" customFormat="1" ht="15.75" customHeight="1" x14ac:dyDescent="0.2">
      <c r="A34" s="7"/>
      <c r="B34" s="6" t="s">
        <v>65</v>
      </c>
      <c r="C34" s="7" t="s">
        <v>68</v>
      </c>
      <c r="D34" s="7" t="s">
        <v>61</v>
      </c>
      <c r="F34" s="7">
        <v>0.2</v>
      </c>
      <c r="G34" s="7">
        <v>2.4</v>
      </c>
      <c r="H34" s="7">
        <v>1</v>
      </c>
      <c r="I34" s="7">
        <v>5.0999999999999996</v>
      </c>
      <c r="L34" s="7">
        <v>0.4</v>
      </c>
      <c r="M34" s="7">
        <v>30.7</v>
      </c>
      <c r="P34" s="7">
        <v>0</v>
      </c>
      <c r="Q34" s="7">
        <v>0.6</v>
      </c>
      <c r="T34" s="7">
        <v>45.3</v>
      </c>
    </row>
    <row r="35" spans="1:21" s="6" customFormat="1" ht="15.75" customHeight="1" x14ac:dyDescent="0.2">
      <c r="A35" s="7"/>
      <c r="B35" s="6" t="s">
        <v>67</v>
      </c>
      <c r="C35" s="7" t="s">
        <v>68</v>
      </c>
      <c r="D35" s="7" t="s">
        <v>62</v>
      </c>
      <c r="F35" s="7">
        <v>0.2</v>
      </c>
      <c r="G35" s="7">
        <v>6.1</v>
      </c>
      <c r="H35" s="7">
        <v>2.6</v>
      </c>
      <c r="I35" s="7">
        <v>12.7</v>
      </c>
      <c r="L35" s="7">
        <v>0.8</v>
      </c>
      <c r="M35" s="7">
        <v>13.2</v>
      </c>
      <c r="P35" s="7">
        <v>0.1</v>
      </c>
      <c r="Q35" s="7">
        <v>1.3</v>
      </c>
      <c r="T35" s="7">
        <v>46.4</v>
      </c>
    </row>
    <row r="36" spans="1:21" s="6" customFormat="1" ht="15.75" customHeight="1" x14ac:dyDescent="0.2">
      <c r="A36" s="7"/>
      <c r="B36" s="6" t="s">
        <v>65</v>
      </c>
      <c r="C36" s="7"/>
      <c r="D36" s="6" t="s">
        <v>69</v>
      </c>
      <c r="F36" s="7">
        <v>0.6</v>
      </c>
      <c r="G36" s="7">
        <v>0.9</v>
      </c>
      <c r="H36" s="7">
        <v>1</v>
      </c>
      <c r="I36" s="7">
        <v>5.2</v>
      </c>
      <c r="L36" s="7">
        <v>0.2</v>
      </c>
      <c r="M36" s="7">
        <v>30.7</v>
      </c>
      <c r="P36" s="6">
        <v>0</v>
      </c>
      <c r="Q36" s="7">
        <v>0.8</v>
      </c>
      <c r="T36" s="7">
        <v>46.7</v>
      </c>
    </row>
    <row r="37" spans="1:21" s="10" customFormat="1" ht="15.75" customHeight="1" x14ac:dyDescent="0.2">
      <c r="A37" s="11" t="s">
        <v>70</v>
      </c>
      <c r="F37" s="4">
        <f t="shared" ref="F37:I37" si="3">AVERAGE(F33:F36)</f>
        <v>0.27500000000000002</v>
      </c>
      <c r="G37" s="4">
        <f t="shared" si="3"/>
        <v>4.25</v>
      </c>
      <c r="H37" s="4">
        <f t="shared" si="3"/>
        <v>1.375</v>
      </c>
      <c r="I37" s="4">
        <f t="shared" si="3"/>
        <v>8.2000000000000011</v>
      </c>
      <c r="J37" s="3"/>
      <c r="K37" s="3"/>
      <c r="L37" s="4">
        <f t="shared" ref="L37:M37" si="4">AVERAGE(L33:L36)</f>
        <v>0.42499999999999999</v>
      </c>
      <c r="M37" s="4">
        <f t="shared" si="4"/>
        <v>22.900000000000002</v>
      </c>
      <c r="N37" s="3"/>
      <c r="O37" s="3"/>
      <c r="P37" s="4">
        <f t="shared" ref="P37:Q37" si="5">AVERAGE(P33:P36)</f>
        <v>2.5000000000000001E-2</v>
      </c>
      <c r="Q37" s="4">
        <f t="shared" si="5"/>
        <v>0.97499999999999987</v>
      </c>
      <c r="R37" s="3"/>
      <c r="S37" s="3"/>
      <c r="T37" s="4">
        <f>AVERAGE(T33:T36)</f>
        <v>46.474999999999994</v>
      </c>
      <c r="U37" s="3"/>
    </row>
    <row r="38" spans="1:21" s="10" customFormat="1" ht="15.75" customHeight="1" x14ac:dyDescent="0.2">
      <c r="A38" s="11" t="s">
        <v>60</v>
      </c>
      <c r="F38" s="4">
        <f t="shared" ref="F38:I38" si="6">STDEV(F33:F36)*2</f>
        <v>0.44347115652166896</v>
      </c>
      <c r="G38" s="4">
        <f t="shared" si="6"/>
        <v>6.2492666236393948</v>
      </c>
      <c r="H38" s="4">
        <f t="shared" si="6"/>
        <v>1.636052158907737</v>
      </c>
      <c r="I38" s="4">
        <f t="shared" si="6"/>
        <v>7.4314646380553144</v>
      </c>
      <c r="J38" s="3"/>
      <c r="K38" s="3"/>
      <c r="L38" s="4">
        <f t="shared" ref="L38:M38" si="7">STDEV(L33:L36)*2</f>
        <v>0.52599112793531699</v>
      </c>
      <c r="M38" s="4">
        <f t="shared" si="7"/>
        <v>18.278584919699515</v>
      </c>
      <c r="N38" s="4"/>
      <c r="O38" s="4"/>
      <c r="P38" s="4">
        <f t="shared" ref="P38:Q38" si="8">STDEV(P33:P36)*2</f>
        <v>0.1</v>
      </c>
      <c r="Q38" s="4">
        <f t="shared" si="8"/>
        <v>0.66080758671996886</v>
      </c>
      <c r="R38" s="3"/>
      <c r="S38" s="3"/>
      <c r="T38" s="4">
        <f>STDEV(T33:T36)*2</f>
        <v>1.8211717839530341</v>
      </c>
      <c r="U38" s="3"/>
    </row>
  </sheetData>
  <sortState xmlns:xlrd2="http://schemas.microsoft.com/office/spreadsheetml/2017/richdata2" ref="A2:U26">
    <sortCondition ref="A2:A2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27DF-611A-D44B-95EE-9CA11A95D20C}">
  <dimension ref="A1:A25"/>
  <sheetViews>
    <sheetView workbookViewId="0">
      <selection activeCell="C27" sqref="C27"/>
    </sheetView>
  </sheetViews>
  <sheetFormatPr baseColWidth="10" defaultRowHeight="16" x14ac:dyDescent="0.2"/>
  <sheetData>
    <row r="1" spans="1:1" x14ac:dyDescent="0.2">
      <c r="A1" s="7"/>
    </row>
    <row r="2" spans="1:1" x14ac:dyDescent="0.2">
      <c r="A2" s="7"/>
    </row>
    <row r="3" spans="1:1" x14ac:dyDescent="0.2">
      <c r="A3" s="7"/>
    </row>
    <row r="4" spans="1:1" x14ac:dyDescent="0.2">
      <c r="A4" s="7"/>
    </row>
    <row r="5" spans="1:1" x14ac:dyDescent="0.2">
      <c r="A5" s="7"/>
    </row>
    <row r="6" spans="1:1" x14ac:dyDescent="0.2">
      <c r="A6" s="7"/>
    </row>
    <row r="7" spans="1:1" x14ac:dyDescent="0.2">
      <c r="A7" s="16"/>
    </row>
    <row r="8" spans="1:1" x14ac:dyDescent="0.2">
      <c r="A8" s="15"/>
    </row>
    <row r="9" spans="1:1" x14ac:dyDescent="0.2">
      <c r="A9" s="8"/>
    </row>
    <row r="10" spans="1:1" x14ac:dyDescent="0.2">
      <c r="A10" s="8"/>
    </row>
    <row r="11" spans="1:1" x14ac:dyDescent="0.2">
      <c r="A11" s="7"/>
    </row>
    <row r="12" spans="1:1" x14ac:dyDescent="0.2">
      <c r="A12" s="7"/>
    </row>
    <row r="13" spans="1:1" x14ac:dyDescent="0.2">
      <c r="A13" s="7"/>
    </row>
    <row r="14" spans="1:1" x14ac:dyDescent="0.2">
      <c r="A14" s="7"/>
    </row>
    <row r="15" spans="1:1" x14ac:dyDescent="0.2">
      <c r="A15" s="7"/>
    </row>
    <row r="16" spans="1:1" x14ac:dyDescent="0.2">
      <c r="A16" s="7"/>
    </row>
    <row r="17" spans="1:1" x14ac:dyDescent="0.2">
      <c r="A17" s="7"/>
    </row>
    <row r="18" spans="1:1" x14ac:dyDescent="0.2">
      <c r="A18" s="7"/>
    </row>
    <row r="19" spans="1:1" x14ac:dyDescent="0.2">
      <c r="A19" s="7"/>
    </row>
    <row r="20" spans="1:1" x14ac:dyDescent="0.2">
      <c r="A20" s="7"/>
    </row>
    <row r="21" spans="1:1" x14ac:dyDescent="0.2">
      <c r="A21" s="7"/>
    </row>
    <row r="22" spans="1:1" x14ac:dyDescent="0.2">
      <c r="A22" s="7"/>
    </row>
    <row r="23" spans="1:1" x14ac:dyDescent="0.2">
      <c r="A23" s="7"/>
    </row>
    <row r="24" spans="1:1" x14ac:dyDescent="0.2">
      <c r="A24" s="7"/>
    </row>
    <row r="25" spans="1:1" x14ac:dyDescent="0.2">
      <c r="A2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Diameter</vt:lpstr>
      <vt:lpstr>EDS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Danqiu Chen</dc:creator>
  <cp:lastModifiedBy>Danqiu Chen</cp:lastModifiedBy>
  <dcterms:created xsi:type="dcterms:W3CDTF">2026-10-15T20:19:24Z</dcterms:created>
  <dcterms:modified xsi:type="dcterms:W3CDTF">2026-10-15T21:40:29Z</dcterms:modified>
</cp:coreProperties>
</file>